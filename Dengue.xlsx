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st ml with small dataset\"/>
    </mc:Choice>
  </mc:AlternateContent>
  <xr:revisionPtr revIDLastSave="0" documentId="13_ncr:1_{97D35AF3-219F-4468-8CD3-844AC40FC4D3}" xr6:coauthVersionLast="47" xr6:coauthVersionMax="47" xr10:uidLastSave="{00000000-0000-0000-0000-000000000000}"/>
  <bookViews>
    <workbookView xWindow="-120" yWindow="-120" windowWidth="29040" windowHeight="16440" xr2:uid="{8AC76AFF-8980-46A0-8F28-B975E0A69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K47" i="1"/>
  <c r="I47" i="1"/>
  <c r="H47" i="1"/>
  <c r="G47" i="1"/>
  <c r="F47" i="1"/>
  <c r="E47" i="1"/>
  <c r="D47" i="1"/>
  <c r="I46" i="1"/>
  <c r="H46" i="1"/>
  <c r="G46" i="1"/>
  <c r="F46" i="1"/>
  <c r="D46" i="1"/>
  <c r="I45" i="1"/>
  <c r="H45" i="1"/>
  <c r="G45" i="1"/>
  <c r="F45" i="1"/>
  <c r="D45" i="1"/>
  <c r="I44" i="1"/>
  <c r="H44" i="1"/>
  <c r="G44" i="1"/>
  <c r="F44" i="1"/>
  <c r="E44" i="1"/>
  <c r="D44" i="1"/>
  <c r="F43" i="1"/>
</calcChain>
</file>

<file path=xl/sharedStrings.xml><?xml version="1.0" encoding="utf-8"?>
<sst xmlns="http://schemas.openxmlformats.org/spreadsheetml/2006/main" count="71" uniqueCount="32">
  <si>
    <t>Year</t>
  </si>
  <si>
    <t>January</t>
  </si>
  <si>
    <t>February</t>
  </si>
  <si>
    <t>March</t>
  </si>
  <si>
    <t>Month</t>
  </si>
  <si>
    <t>Died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</si>
  <si>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</si>
  <si>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</si>
  <si>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</si>
  <si>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</si>
  <si>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</si>
  <si>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</si>
  <si>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</si>
  <si>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</si>
  <si>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</si>
  <si>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Affected</t>
  </si>
  <si>
    <t>Rajshahi(D)</t>
  </si>
  <si>
    <t>Barishal(Affected)</t>
  </si>
  <si>
    <t>Dhaka(Affected)</t>
  </si>
  <si>
    <t>Chattogram(Affected)</t>
  </si>
  <si>
    <t>Khulna(Affected)</t>
  </si>
  <si>
    <t>Mymensingh(Affected)</t>
  </si>
  <si>
    <t>Rajshahi(Affected)</t>
  </si>
  <si>
    <t>Rangpur(Affected)</t>
  </si>
  <si>
    <t>Sylhet(Affected)</t>
  </si>
  <si>
    <t>Barishal(Died)</t>
  </si>
  <si>
    <t>Chattogram(Died)</t>
  </si>
  <si>
    <t>Khulna(Died)</t>
  </si>
  <si>
    <t>Dhaka(Died)</t>
  </si>
  <si>
    <t>Mymensingh(Died)</t>
  </si>
  <si>
    <t>Rangpur(Died)</t>
  </si>
  <si>
    <t>Sylhet(Died)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</si>
</sst>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left" indent="3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E8959-9068-49AF-A01B-21D73F5F9C86}">
  <dimension ref="A1:T73"/>
  <sheetViews>
    <sheetView tabSelected="1" zoomScale="55" zoomScaleNormal="55" workbookViewId="0">
      <pane ySplit="1" topLeftCell="A2" activePane="bottomLeft" state="frozen"/>
      <selection pane="bottomLeft" activeCell="W13" sqref="W13"/>
    </sheetView>
  </sheetViews>
  <sheetFormatPr defaultRowHeight="15" x14ac:dyDescent="0.25"/>
  <cols>
    <col min="1" max="1" width="9.7109375" customWidth="1"/>
    <col min="2" max="2" width="10.7109375" customWidth="1"/>
    <col min="3" max="3" width="11.7109375" customWidth="1"/>
    <col min="4" max="4" width="29.42578125" customWidth="1"/>
    <col min="5" max="5" width="35.42578125" customWidth="1"/>
    <col min="6" max="6" width="19" customWidth="1"/>
    <col min="7" max="7" width="21.5703125" customWidth="1"/>
    <col min="8" max="8" width="24" customWidth="1"/>
    <col min="9" max="9" width="21.85546875" customWidth="1"/>
    <col min="10" max="10" width="22" customWidth="1"/>
    <col min="11" max="11" width="19.42578125" customWidth="1"/>
    <col min="12" max="12" width="20" style="5" customWidth="1"/>
    <col min="13" max="13" width="24" style="5" customWidth="1"/>
    <col min="14" max="14" width="16.28515625" style="5" customWidth="1"/>
    <col min="15" max="15" width="15.5703125" style="5" customWidth="1"/>
    <col min="16" max="16" width="22" style="5" customWidth="1"/>
    <col min="17" max="17" width="12.140625" style="5" customWidth="1"/>
    <col min="18" max="18" width="11.7109375" style="5" customWidth="1"/>
    <col min="19" max="19" width="8.85546875" style="5"/>
    <col min="20" max="20" width="14.42578125" style="5" customWidth="1"/>
    <col min="21" max="21" width="14.42578125" customWidth="1"/>
  </cols>
  <sheetData>
    <row r="1" spans="1:20" s="2" customFormat="1" x14ac:dyDescent="0.25">
      <c r="A1" s="2" t="s">
        <v>0</v>
      </c>
      <c r="B1" s="2" t="s">
        <v>4</v>
      </c>
      <c r="C1" s="2" t="s">
        <v>15</v>
      </c>
      <c r="D1" s="2" t="s">
        <v>17</v>
      </c>
      <c r="E1" s="2" t="s">
        <v>19</v>
      </c>
      <c r="F1" s="2" t="s">
        <v>18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3" t="s">
        <v>25</v>
      </c>
      <c r="M1" s="3" t="s">
        <v>26</v>
      </c>
      <c r="N1" s="3" t="s">
        <v>28</v>
      </c>
      <c r="O1" s="3" t="s">
        <v>27</v>
      </c>
      <c r="P1" s="3" t="s">
        <v>29</v>
      </c>
      <c r="Q1" s="3" t="s">
        <v>16</v>
      </c>
      <c r="R1" s="3" t="s">
        <v>30</v>
      </c>
      <c r="S1" s="3" t="s">
        <v>31</v>
      </c>
      <c r="T1" s="4" t="s">
        <v>5</v>
      </c>
    </row>
    <row r="2" spans="1:20" x14ac:dyDescent="0.25">
      <c r="A2">
        <v>2019</v>
      </c>
      <c r="B2" t="s">
        <v>11</v>
      </c>
      <c r="C2" s="1">
        <v>16856</v>
      </c>
      <c r="D2">
        <v>1569</v>
      </c>
      <c r="E2">
        <v>1336</v>
      </c>
      <c r="F2">
        <v>9733</v>
      </c>
      <c r="G2">
        <v>3837</v>
      </c>
      <c r="H2">
        <v>318</v>
      </c>
      <c r="I2">
        <v>987</v>
      </c>
      <c r="J2">
        <v>289</v>
      </c>
      <c r="K2">
        <v>166</v>
      </c>
      <c r="L2" s="5">
        <v>8</v>
      </c>
      <c r="M2" s="5">
        <v>7</v>
      </c>
      <c r="N2" s="5">
        <v>15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30</v>
      </c>
    </row>
    <row r="3" spans="1:20" x14ac:dyDescent="0.25">
      <c r="A3">
        <v>2019</v>
      </c>
      <c r="B3" t="s">
        <v>12</v>
      </c>
      <c r="C3" s="1">
        <v>8143</v>
      </c>
      <c r="D3">
        <v>971</v>
      </c>
      <c r="E3">
        <v>806</v>
      </c>
      <c r="F3">
        <v>3590</v>
      </c>
      <c r="G3">
        <v>2092</v>
      </c>
      <c r="H3">
        <v>144</v>
      </c>
      <c r="I3">
        <v>398</v>
      </c>
      <c r="J3">
        <v>127</v>
      </c>
      <c r="K3">
        <v>52</v>
      </c>
      <c r="L3" s="5">
        <v>0</v>
      </c>
      <c r="M3" s="5">
        <v>6</v>
      </c>
      <c r="N3" s="5">
        <v>6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12</v>
      </c>
    </row>
    <row r="4" spans="1:20" x14ac:dyDescent="0.25">
      <c r="A4">
        <v>2019</v>
      </c>
      <c r="B4" t="s">
        <v>13</v>
      </c>
      <c r="C4" s="1">
        <v>4011</v>
      </c>
      <c r="D4">
        <v>373</v>
      </c>
      <c r="E4">
        <v>641</v>
      </c>
      <c r="F4">
        <v>2087</v>
      </c>
      <c r="G4">
        <v>767</v>
      </c>
      <c r="H4">
        <v>77</v>
      </c>
      <c r="I4">
        <v>142</v>
      </c>
      <c r="J4">
        <v>51</v>
      </c>
      <c r="K4">
        <v>25</v>
      </c>
      <c r="L4" s="5">
        <v>0</v>
      </c>
      <c r="M4" s="5">
        <v>0</v>
      </c>
      <c r="N4" s="5">
        <v>3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3</v>
      </c>
    </row>
    <row r="5" spans="1:20" x14ac:dyDescent="0.25">
      <c r="A5">
        <v>2019</v>
      </c>
      <c r="B5" t="s">
        <v>14</v>
      </c>
      <c r="C5" s="1">
        <v>1247</v>
      </c>
      <c r="D5">
        <v>55</v>
      </c>
      <c r="E5">
        <v>179</v>
      </c>
      <c r="F5">
        <v>814</v>
      </c>
      <c r="G5">
        <v>135</v>
      </c>
      <c r="H5">
        <v>20</v>
      </c>
      <c r="I5">
        <v>21</v>
      </c>
      <c r="J5">
        <v>19</v>
      </c>
      <c r="K5">
        <v>4</v>
      </c>
      <c r="L5" s="5">
        <v>0</v>
      </c>
      <c r="M5" s="5">
        <v>0</v>
      </c>
      <c r="N5" s="5">
        <v>1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</row>
    <row r="6" spans="1:20" x14ac:dyDescent="0.25">
      <c r="A6">
        <v>2020</v>
      </c>
      <c r="B6" t="s">
        <v>1</v>
      </c>
      <c r="C6">
        <v>241</v>
      </c>
      <c r="D6">
        <v>3</v>
      </c>
      <c r="E6">
        <v>6</v>
      </c>
      <c r="F6">
        <v>171</v>
      </c>
      <c r="G6">
        <v>5</v>
      </c>
      <c r="H6">
        <v>7</v>
      </c>
      <c r="I6">
        <v>1</v>
      </c>
      <c r="J6">
        <v>0</v>
      </c>
      <c r="K6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</row>
    <row r="7" spans="1:20" x14ac:dyDescent="0.25">
      <c r="A7">
        <v>2022</v>
      </c>
      <c r="B7" t="s">
        <v>1</v>
      </c>
      <c r="C7">
        <v>126</v>
      </c>
      <c r="D7">
        <v>7</v>
      </c>
      <c r="E7">
        <v>56</v>
      </c>
      <c r="F7">
        <v>60</v>
      </c>
      <c r="G7">
        <v>1</v>
      </c>
      <c r="H7">
        <v>1</v>
      </c>
      <c r="I7">
        <v>0</v>
      </c>
      <c r="J7">
        <v>1</v>
      </c>
      <c r="K7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</row>
    <row r="8" spans="1:20" x14ac:dyDescent="0.25">
      <c r="A8">
        <v>2022</v>
      </c>
      <c r="B8" t="s">
        <v>2</v>
      </c>
      <c r="C8">
        <v>20</v>
      </c>
      <c r="D8">
        <v>5</v>
      </c>
      <c r="E8">
        <v>3</v>
      </c>
      <c r="F8">
        <v>10</v>
      </c>
      <c r="G8">
        <v>1</v>
      </c>
      <c r="H8">
        <v>0</v>
      </c>
      <c r="I8">
        <v>0</v>
      </c>
      <c r="J8">
        <v>1</v>
      </c>
      <c r="K8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</row>
    <row r="9" spans="1:20" x14ac:dyDescent="0.25">
      <c r="A9">
        <v>2022</v>
      </c>
      <c r="B9" t="s">
        <v>3</v>
      </c>
      <c r="C9">
        <v>20</v>
      </c>
      <c r="D9">
        <v>0</v>
      </c>
      <c r="E9">
        <v>4</v>
      </c>
      <c r="F9">
        <v>11</v>
      </c>
      <c r="G9">
        <v>3</v>
      </c>
      <c r="H9">
        <v>1</v>
      </c>
      <c r="I9">
        <v>1</v>
      </c>
      <c r="J9">
        <v>0</v>
      </c>
      <c r="K9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</row>
    <row r="10" spans="1:20" x14ac:dyDescent="0.25">
      <c r="A10">
        <v>2022</v>
      </c>
      <c r="B10" t="s">
        <v>6</v>
      </c>
      <c r="C10">
        <v>23</v>
      </c>
      <c r="D10">
        <v>0</v>
      </c>
      <c r="E10">
        <v>3</v>
      </c>
      <c r="F10">
        <v>19</v>
      </c>
      <c r="G10">
        <v>1</v>
      </c>
      <c r="H10">
        <v>0</v>
      </c>
      <c r="I10">
        <v>0</v>
      </c>
      <c r="J10">
        <v>0</v>
      </c>
      <c r="K10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</row>
    <row r="11" spans="1:20" x14ac:dyDescent="0.25">
      <c r="A11">
        <v>2022</v>
      </c>
      <c r="B11" t="s">
        <v>7</v>
      </c>
      <c r="C11">
        <v>163</v>
      </c>
      <c r="D11">
        <v>0</v>
      </c>
      <c r="E11">
        <v>1</v>
      </c>
      <c r="F11">
        <v>161</v>
      </c>
      <c r="G11">
        <v>1</v>
      </c>
      <c r="H11">
        <v>0</v>
      </c>
      <c r="I11">
        <v>0</v>
      </c>
      <c r="J11">
        <v>0</v>
      </c>
      <c r="K11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x14ac:dyDescent="0.25">
      <c r="A12">
        <v>2022</v>
      </c>
      <c r="B12" t="s">
        <v>8</v>
      </c>
      <c r="C12">
        <v>737</v>
      </c>
      <c r="D12">
        <v>0</v>
      </c>
      <c r="E12">
        <v>16</v>
      </c>
      <c r="F12">
        <v>704</v>
      </c>
      <c r="G12">
        <v>8</v>
      </c>
      <c r="H12">
        <v>8</v>
      </c>
      <c r="I12">
        <v>0</v>
      </c>
      <c r="J12">
        <v>1</v>
      </c>
      <c r="K12">
        <v>0</v>
      </c>
      <c r="L12" s="5">
        <v>0</v>
      </c>
      <c r="M12" s="5">
        <v>0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</row>
    <row r="13" spans="1:20" x14ac:dyDescent="0.25">
      <c r="A13">
        <v>2022</v>
      </c>
      <c r="B13" t="s">
        <v>9</v>
      </c>
      <c r="C13">
        <v>1571</v>
      </c>
      <c r="D13">
        <v>18</v>
      </c>
      <c r="E13">
        <v>223</v>
      </c>
      <c r="F13">
        <v>1298</v>
      </c>
      <c r="G13">
        <v>14</v>
      </c>
      <c r="H13">
        <v>16</v>
      </c>
      <c r="I13">
        <v>2</v>
      </c>
      <c r="J13">
        <v>0</v>
      </c>
      <c r="K13">
        <v>0</v>
      </c>
      <c r="L13" s="5">
        <v>0</v>
      </c>
      <c r="M13" s="5">
        <v>6</v>
      </c>
      <c r="N13" s="5">
        <v>3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9</v>
      </c>
    </row>
    <row r="14" spans="1:20" x14ac:dyDescent="0.25">
      <c r="A14">
        <v>2022</v>
      </c>
      <c r="B14" t="s">
        <v>10</v>
      </c>
      <c r="C14">
        <v>3521</v>
      </c>
      <c r="D14">
        <v>44</v>
      </c>
      <c r="E14">
        <v>530</v>
      </c>
      <c r="F14">
        <v>2873</v>
      </c>
      <c r="G14">
        <v>43</v>
      </c>
      <c r="H14">
        <v>27</v>
      </c>
      <c r="I14">
        <v>1</v>
      </c>
      <c r="J14">
        <v>2</v>
      </c>
      <c r="K14">
        <v>1</v>
      </c>
      <c r="L14" s="5">
        <v>0</v>
      </c>
      <c r="M14" s="5">
        <v>5</v>
      </c>
      <c r="N14" s="5">
        <v>6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11</v>
      </c>
    </row>
    <row r="15" spans="1:20" x14ac:dyDescent="0.25">
      <c r="A15">
        <v>2022</v>
      </c>
      <c r="B15" t="s">
        <v>11</v>
      </c>
      <c r="C15">
        <v>9911</v>
      </c>
      <c r="D15">
        <v>329</v>
      </c>
      <c r="E15">
        <v>1182</v>
      </c>
      <c r="F15">
        <v>7422</v>
      </c>
      <c r="G15">
        <v>556</v>
      </c>
      <c r="H15">
        <v>120</v>
      </c>
      <c r="I15">
        <v>278</v>
      </c>
      <c r="J15">
        <v>15</v>
      </c>
      <c r="K15">
        <v>9</v>
      </c>
      <c r="L15" s="5">
        <v>4</v>
      </c>
      <c r="M15" s="5">
        <v>13</v>
      </c>
      <c r="N15" s="5">
        <v>17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34</v>
      </c>
    </row>
    <row r="16" spans="1:20" x14ac:dyDescent="0.25">
      <c r="A16">
        <v>2022</v>
      </c>
      <c r="B16" t="s">
        <v>12</v>
      </c>
      <c r="C16" s="1">
        <v>21932</v>
      </c>
      <c r="D16">
        <v>1310</v>
      </c>
      <c r="E16">
        <v>2679</v>
      </c>
      <c r="F16">
        <v>15203</v>
      </c>
      <c r="G16">
        <v>1288</v>
      </c>
      <c r="H16">
        <v>380</v>
      </c>
      <c r="I16">
        <v>963</v>
      </c>
      <c r="J16">
        <v>52</v>
      </c>
      <c r="K16">
        <v>57</v>
      </c>
      <c r="L16" s="5">
        <v>1</v>
      </c>
      <c r="M16" s="5">
        <v>14</v>
      </c>
      <c r="N16" s="5">
        <v>59</v>
      </c>
      <c r="O16" s="5">
        <v>6</v>
      </c>
      <c r="P16" s="5">
        <v>4</v>
      </c>
      <c r="Q16" s="5">
        <v>2</v>
      </c>
      <c r="R16" s="5">
        <v>0</v>
      </c>
      <c r="S16" s="5">
        <v>0</v>
      </c>
      <c r="T16" s="5">
        <v>86</v>
      </c>
    </row>
    <row r="17" spans="1:20" x14ac:dyDescent="0.25">
      <c r="A17">
        <v>2022</v>
      </c>
      <c r="B17" t="s">
        <v>13</v>
      </c>
      <c r="C17" s="1">
        <v>19334</v>
      </c>
      <c r="D17">
        <v>1213</v>
      </c>
      <c r="E17">
        <v>3253</v>
      </c>
      <c r="F17">
        <v>12386</v>
      </c>
      <c r="G17">
        <v>1200</v>
      </c>
      <c r="H17">
        <v>387</v>
      </c>
      <c r="I17">
        <v>755</v>
      </c>
      <c r="J17">
        <v>88</v>
      </c>
      <c r="K17">
        <v>52</v>
      </c>
      <c r="L17" s="5">
        <v>7</v>
      </c>
      <c r="M17" s="5">
        <v>22</v>
      </c>
      <c r="N17" s="5">
        <v>71</v>
      </c>
      <c r="O17" s="5">
        <v>6</v>
      </c>
      <c r="P17" s="5">
        <v>2</v>
      </c>
      <c r="Q17" s="5">
        <v>5</v>
      </c>
      <c r="R17" s="5">
        <v>0</v>
      </c>
      <c r="S17" s="5">
        <v>0</v>
      </c>
      <c r="T17" s="5">
        <v>113</v>
      </c>
    </row>
    <row r="18" spans="1:20" x14ac:dyDescent="0.25">
      <c r="A18">
        <v>2022</v>
      </c>
      <c r="B18" t="s">
        <v>14</v>
      </c>
      <c r="C18">
        <v>5024</v>
      </c>
      <c r="D18">
        <v>241</v>
      </c>
      <c r="E18">
        <v>1159</v>
      </c>
      <c r="F18">
        <v>3178</v>
      </c>
      <c r="G18">
        <v>234</v>
      </c>
      <c r="H18">
        <v>80</v>
      </c>
      <c r="I18">
        <v>111</v>
      </c>
      <c r="J18">
        <v>15</v>
      </c>
      <c r="K18">
        <v>6</v>
      </c>
      <c r="L18" s="5">
        <v>0</v>
      </c>
      <c r="M18" s="5">
        <v>9</v>
      </c>
      <c r="N18" s="5">
        <v>18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27</v>
      </c>
    </row>
    <row r="19" spans="1:20" x14ac:dyDescent="0.25">
      <c r="A19">
        <v>2023</v>
      </c>
      <c r="B19" t="s">
        <v>1</v>
      </c>
      <c r="C19">
        <v>566</v>
      </c>
      <c r="D19">
        <v>53</v>
      </c>
      <c r="E19">
        <v>140</v>
      </c>
      <c r="F19">
        <v>330</v>
      </c>
      <c r="G19">
        <v>24</v>
      </c>
      <c r="H19">
        <v>7</v>
      </c>
      <c r="I19">
        <v>7</v>
      </c>
      <c r="J19">
        <v>2</v>
      </c>
      <c r="K19">
        <v>3</v>
      </c>
      <c r="L19" s="5">
        <v>0</v>
      </c>
      <c r="M19" s="5">
        <v>3</v>
      </c>
      <c r="N19" s="5">
        <v>3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6</v>
      </c>
    </row>
    <row r="20" spans="1:20" x14ac:dyDescent="0.25">
      <c r="A20">
        <v>2023</v>
      </c>
      <c r="B20" t="s">
        <v>2</v>
      </c>
      <c r="C20">
        <v>166</v>
      </c>
      <c r="D20">
        <v>27</v>
      </c>
      <c r="E20">
        <v>39</v>
      </c>
      <c r="F20">
        <v>92</v>
      </c>
      <c r="G20">
        <v>6</v>
      </c>
      <c r="H20">
        <v>2</v>
      </c>
      <c r="I20">
        <v>0</v>
      </c>
      <c r="J20">
        <v>0</v>
      </c>
      <c r="K20">
        <v>0</v>
      </c>
      <c r="L20" s="5">
        <v>0</v>
      </c>
      <c r="M20" s="5">
        <v>0</v>
      </c>
      <c r="N20" s="5">
        <v>3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3</v>
      </c>
    </row>
    <row r="21" spans="1:20" x14ac:dyDescent="0.25">
      <c r="A21">
        <v>2023</v>
      </c>
      <c r="B21" t="s">
        <v>3</v>
      </c>
      <c r="C21">
        <v>111</v>
      </c>
      <c r="D21">
        <v>13</v>
      </c>
      <c r="E21">
        <v>17</v>
      </c>
      <c r="F21">
        <v>76</v>
      </c>
      <c r="G21">
        <v>4</v>
      </c>
      <c r="H21">
        <v>1</v>
      </c>
      <c r="I21">
        <v>0</v>
      </c>
      <c r="J21">
        <v>0</v>
      </c>
      <c r="K21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</row>
    <row r="22" spans="1:20" x14ac:dyDescent="0.25">
      <c r="A22">
        <v>2023</v>
      </c>
      <c r="B22" t="s">
        <v>6</v>
      </c>
      <c r="C22">
        <v>143</v>
      </c>
      <c r="D22">
        <v>11</v>
      </c>
      <c r="E22">
        <v>33</v>
      </c>
      <c r="F22">
        <v>94</v>
      </c>
      <c r="G22">
        <v>4</v>
      </c>
      <c r="H22">
        <v>1</v>
      </c>
      <c r="I22">
        <v>0</v>
      </c>
      <c r="J22">
        <v>0</v>
      </c>
      <c r="K22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</row>
    <row r="23" spans="1:20" x14ac:dyDescent="0.25">
      <c r="A23">
        <v>2023</v>
      </c>
      <c r="B23" t="s">
        <v>7</v>
      </c>
      <c r="C23">
        <v>1036</v>
      </c>
      <c r="D23">
        <v>40</v>
      </c>
      <c r="E23">
        <v>81</v>
      </c>
      <c r="F23">
        <v>895</v>
      </c>
      <c r="G23">
        <v>7</v>
      </c>
      <c r="H23">
        <v>12</v>
      </c>
      <c r="I23">
        <v>0</v>
      </c>
      <c r="J23">
        <v>0</v>
      </c>
      <c r="K23">
        <v>1</v>
      </c>
      <c r="L23" s="5">
        <v>0</v>
      </c>
      <c r="M23" s="5">
        <v>0</v>
      </c>
      <c r="N23" s="5">
        <v>4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2</v>
      </c>
    </row>
    <row r="24" spans="1:20" x14ac:dyDescent="0.25">
      <c r="A24">
        <v>2023</v>
      </c>
      <c r="B24" t="s">
        <v>8</v>
      </c>
      <c r="C24">
        <v>5956</v>
      </c>
      <c r="D24">
        <v>272</v>
      </c>
      <c r="E24">
        <v>482</v>
      </c>
      <c r="F24">
        <v>4900</v>
      </c>
      <c r="G24">
        <v>117</v>
      </c>
      <c r="H24">
        <v>95</v>
      </c>
      <c r="I24">
        <v>33</v>
      </c>
      <c r="J24">
        <v>27</v>
      </c>
      <c r="K24">
        <v>37</v>
      </c>
      <c r="L24" s="5">
        <v>1</v>
      </c>
      <c r="M24" s="5">
        <v>6</v>
      </c>
      <c r="N24" s="5">
        <v>27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34</v>
      </c>
    </row>
    <row r="25" spans="1:20" x14ac:dyDescent="0.25">
      <c r="A25">
        <v>2023</v>
      </c>
      <c r="B25" t="s">
        <v>9</v>
      </c>
      <c r="C25" s="1">
        <v>43854</v>
      </c>
      <c r="D25">
        <v>4877</v>
      </c>
      <c r="E25">
        <v>5857</v>
      </c>
      <c r="F25">
        <v>27987</v>
      </c>
      <c r="G25">
        <v>1739</v>
      </c>
      <c r="H25">
        <v>1176</v>
      </c>
      <c r="I25">
        <v>1023</v>
      </c>
      <c r="J25">
        <v>812</v>
      </c>
      <c r="K25">
        <v>383</v>
      </c>
      <c r="L25" s="5">
        <v>10</v>
      </c>
      <c r="M25" s="5">
        <v>15</v>
      </c>
      <c r="N25" s="5">
        <v>159</v>
      </c>
      <c r="O25" s="5">
        <v>6</v>
      </c>
      <c r="P25" s="5">
        <v>4</v>
      </c>
      <c r="Q25" s="5">
        <v>4</v>
      </c>
      <c r="R25" s="5">
        <v>1</v>
      </c>
      <c r="S25" s="5">
        <v>0</v>
      </c>
      <c r="T25" s="5">
        <v>204</v>
      </c>
    </row>
    <row r="26" spans="1:20" x14ac:dyDescent="0.25">
      <c r="A26">
        <v>2023</v>
      </c>
      <c r="B26" t="s">
        <v>10</v>
      </c>
      <c r="C26" s="1">
        <v>71976</v>
      </c>
      <c r="D26">
        <v>8457</v>
      </c>
      <c r="E26">
        <v>10784</v>
      </c>
      <c r="F26">
        <v>40615</v>
      </c>
      <c r="G26">
        <v>4509</v>
      </c>
      <c r="H26">
        <v>2273</v>
      </c>
      <c r="I26">
        <v>3107</v>
      </c>
      <c r="J26">
        <v>1724</v>
      </c>
      <c r="K26">
        <v>507</v>
      </c>
      <c r="L26" s="5">
        <v>29</v>
      </c>
      <c r="M26" s="5">
        <v>33</v>
      </c>
      <c r="N26" s="5">
        <v>256</v>
      </c>
      <c r="O26" s="5">
        <v>13</v>
      </c>
      <c r="P26" s="5">
        <v>3</v>
      </c>
      <c r="Q26" s="5">
        <v>5</v>
      </c>
      <c r="R26" s="5">
        <v>3</v>
      </c>
      <c r="S26" s="5">
        <v>0</v>
      </c>
      <c r="T26" s="5">
        <v>342</v>
      </c>
    </row>
    <row r="27" spans="1:20" x14ac:dyDescent="0.25">
      <c r="A27">
        <v>2023</v>
      </c>
      <c r="B27" t="s">
        <v>11</v>
      </c>
      <c r="C27" s="1">
        <v>79598</v>
      </c>
      <c r="D27">
        <v>10712</v>
      </c>
      <c r="E27">
        <v>12043</v>
      </c>
      <c r="F27">
        <v>40533</v>
      </c>
      <c r="G27">
        <v>8210</v>
      </c>
      <c r="H27">
        <v>2112</v>
      </c>
      <c r="I27">
        <v>4393</v>
      </c>
      <c r="J27">
        <v>1338</v>
      </c>
      <c r="K27">
        <v>257</v>
      </c>
      <c r="L27" s="5">
        <v>60</v>
      </c>
      <c r="M27" s="5">
        <v>26</v>
      </c>
      <c r="N27" s="5">
        <v>265</v>
      </c>
      <c r="O27" s="5">
        <v>26</v>
      </c>
      <c r="P27" s="5">
        <v>4</v>
      </c>
      <c r="Q27" s="5">
        <v>11</v>
      </c>
      <c r="R27" s="5">
        <v>3</v>
      </c>
      <c r="S27" s="5">
        <v>1</v>
      </c>
      <c r="T27" s="5">
        <v>396</v>
      </c>
    </row>
    <row r="28" spans="1:20" x14ac:dyDescent="0.25">
      <c r="A28">
        <v>2023</v>
      </c>
      <c r="B28" t="s">
        <v>12</v>
      </c>
      <c r="C28" s="1">
        <v>67769</v>
      </c>
      <c r="D28">
        <v>8254</v>
      </c>
      <c r="E28">
        <v>8959</v>
      </c>
      <c r="F28">
        <v>31564</v>
      </c>
      <c r="G28">
        <v>10600</v>
      </c>
      <c r="H28">
        <v>1364</v>
      </c>
      <c r="I28">
        <v>5826</v>
      </c>
      <c r="J28">
        <v>1033</v>
      </c>
      <c r="K28">
        <v>165</v>
      </c>
      <c r="L28" s="5">
        <v>48</v>
      </c>
      <c r="M28" s="5">
        <v>15</v>
      </c>
      <c r="N28" s="5">
        <v>233</v>
      </c>
      <c r="O28" s="5">
        <v>44</v>
      </c>
      <c r="P28" s="5">
        <v>0</v>
      </c>
      <c r="Q28" s="5">
        <v>16</v>
      </c>
      <c r="R28" s="5">
        <v>3</v>
      </c>
      <c r="S28" s="5">
        <v>0</v>
      </c>
      <c r="T28" s="5">
        <v>359</v>
      </c>
    </row>
    <row r="29" spans="1:20" x14ac:dyDescent="0.25">
      <c r="A29">
        <v>2023</v>
      </c>
      <c r="B29" t="s">
        <v>13</v>
      </c>
      <c r="C29" s="1">
        <v>40716</v>
      </c>
      <c r="D29">
        <v>4457</v>
      </c>
      <c r="E29">
        <v>4574</v>
      </c>
      <c r="F29">
        <v>18025</v>
      </c>
      <c r="G29">
        <v>21554</v>
      </c>
      <c r="H29">
        <v>930</v>
      </c>
      <c r="I29">
        <v>4270</v>
      </c>
      <c r="J29">
        <v>459</v>
      </c>
      <c r="K29">
        <v>66</v>
      </c>
      <c r="L29" s="5">
        <v>42</v>
      </c>
      <c r="M29" s="5">
        <v>19</v>
      </c>
      <c r="N29" s="5">
        <v>162</v>
      </c>
      <c r="O29" s="5">
        <v>28</v>
      </c>
      <c r="P29" s="5">
        <v>2</v>
      </c>
      <c r="Q29" s="5">
        <v>21</v>
      </c>
      <c r="R29" s="5">
        <v>0</v>
      </c>
      <c r="S29" s="5">
        <v>0</v>
      </c>
      <c r="T29" s="5">
        <v>274</v>
      </c>
    </row>
    <row r="30" spans="1:20" x14ac:dyDescent="0.25">
      <c r="A30">
        <v>2023</v>
      </c>
      <c r="B30" t="s">
        <v>14</v>
      </c>
      <c r="C30" s="1">
        <v>9288</v>
      </c>
      <c r="D30">
        <v>876</v>
      </c>
      <c r="E30">
        <v>1426</v>
      </c>
      <c r="F30">
        <v>4210</v>
      </c>
      <c r="G30">
        <v>1567</v>
      </c>
      <c r="H30">
        <v>291</v>
      </c>
      <c r="I30">
        <v>666</v>
      </c>
      <c r="J30">
        <v>145</v>
      </c>
      <c r="K30">
        <v>7116</v>
      </c>
      <c r="L30" s="5">
        <v>16</v>
      </c>
      <c r="M30" s="5">
        <v>7</v>
      </c>
      <c r="N30" s="5">
        <v>46</v>
      </c>
      <c r="O30" s="5">
        <v>8</v>
      </c>
      <c r="P30" s="5">
        <v>3</v>
      </c>
      <c r="Q30" s="5">
        <v>3</v>
      </c>
      <c r="R30" s="5">
        <v>0</v>
      </c>
      <c r="S30" s="5">
        <v>0</v>
      </c>
      <c r="T30" s="5">
        <v>19</v>
      </c>
    </row>
    <row r="31" spans="1:20" x14ac:dyDescent="0.25">
      <c r="A31">
        <v>2024</v>
      </c>
      <c r="B31" t="s">
        <v>1</v>
      </c>
      <c r="C31">
        <v>1052</v>
      </c>
      <c r="D31">
        <v>123</v>
      </c>
      <c r="E31">
        <v>281</v>
      </c>
      <c r="F31">
        <v>501</v>
      </c>
      <c r="G31">
        <v>80</v>
      </c>
      <c r="H31">
        <v>17</v>
      </c>
      <c r="I31">
        <v>30</v>
      </c>
      <c r="J31">
        <v>13</v>
      </c>
      <c r="K31">
        <v>5</v>
      </c>
      <c r="L31" s="5">
        <v>5</v>
      </c>
      <c r="M31" s="5">
        <v>2</v>
      </c>
      <c r="N31" s="5">
        <v>8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16</v>
      </c>
    </row>
    <row r="32" spans="1:20" x14ac:dyDescent="0.25">
      <c r="A32">
        <v>2024</v>
      </c>
      <c r="B32" t="s">
        <v>2</v>
      </c>
      <c r="C32">
        <v>339</v>
      </c>
      <c r="D32">
        <v>50</v>
      </c>
      <c r="E32">
        <v>110</v>
      </c>
      <c r="F32">
        <v>166</v>
      </c>
      <c r="G32">
        <v>6</v>
      </c>
      <c r="H32">
        <v>6</v>
      </c>
      <c r="I32">
        <v>2</v>
      </c>
      <c r="J32">
        <v>0</v>
      </c>
      <c r="K32">
        <v>1</v>
      </c>
      <c r="L32" s="5">
        <v>1</v>
      </c>
      <c r="M32" s="5">
        <v>0</v>
      </c>
      <c r="N32" s="5">
        <v>5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5</v>
      </c>
    </row>
    <row r="33" spans="1:20" x14ac:dyDescent="0.25">
      <c r="A33">
        <v>2024</v>
      </c>
      <c r="B33" t="s">
        <v>3</v>
      </c>
      <c r="C33">
        <v>311</v>
      </c>
      <c r="D33">
        <v>28</v>
      </c>
      <c r="E33">
        <v>112</v>
      </c>
      <c r="F33">
        <v>148</v>
      </c>
      <c r="G33">
        <v>9</v>
      </c>
      <c r="H33">
        <v>7</v>
      </c>
      <c r="I33">
        <v>6</v>
      </c>
      <c r="J33">
        <v>1</v>
      </c>
      <c r="K33">
        <v>0</v>
      </c>
      <c r="L33" s="5">
        <v>1</v>
      </c>
      <c r="M33" s="5">
        <v>2</v>
      </c>
      <c r="N33" s="5">
        <v>3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6</v>
      </c>
    </row>
    <row r="34" spans="1:20" x14ac:dyDescent="0.25">
      <c r="A34">
        <v>2024</v>
      </c>
      <c r="B34" t="s">
        <v>6</v>
      </c>
      <c r="C34">
        <v>504</v>
      </c>
      <c r="D34">
        <v>62</v>
      </c>
      <c r="E34">
        <v>165</v>
      </c>
      <c r="F34">
        <v>240</v>
      </c>
      <c r="G34">
        <v>15</v>
      </c>
      <c r="H34">
        <v>15</v>
      </c>
      <c r="I34">
        <v>3</v>
      </c>
      <c r="J34">
        <v>3</v>
      </c>
      <c r="K34">
        <v>1</v>
      </c>
      <c r="L34" s="5">
        <v>1</v>
      </c>
      <c r="M34" s="5">
        <v>0</v>
      </c>
      <c r="N34" s="5">
        <v>1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2</v>
      </c>
    </row>
    <row r="35" spans="1:20" x14ac:dyDescent="0.25">
      <c r="A35">
        <v>2024</v>
      </c>
      <c r="B35" t="s">
        <v>7</v>
      </c>
      <c r="C35">
        <v>644</v>
      </c>
      <c r="D35">
        <v>135</v>
      </c>
      <c r="E35">
        <v>155</v>
      </c>
      <c r="F35">
        <v>307</v>
      </c>
      <c r="G35">
        <v>17</v>
      </c>
      <c r="H35">
        <v>16</v>
      </c>
      <c r="I35">
        <v>8</v>
      </c>
      <c r="J35">
        <v>3</v>
      </c>
      <c r="K35">
        <v>3</v>
      </c>
      <c r="L35" s="5">
        <v>1</v>
      </c>
      <c r="M35" s="5">
        <v>0</v>
      </c>
      <c r="N35" s="5">
        <v>11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12</v>
      </c>
    </row>
    <row r="36" spans="1:20" x14ac:dyDescent="0.25">
      <c r="A36">
        <v>2024</v>
      </c>
      <c r="B36" t="s">
        <v>8</v>
      </c>
      <c r="C36">
        <v>798</v>
      </c>
      <c r="D36">
        <v>96</v>
      </c>
      <c r="E36">
        <v>196</v>
      </c>
      <c r="F36">
        <v>420</v>
      </c>
      <c r="G36">
        <v>65</v>
      </c>
      <c r="H36">
        <v>15</v>
      </c>
      <c r="I36">
        <v>4</v>
      </c>
      <c r="J36">
        <v>1</v>
      </c>
      <c r="K36">
        <v>1</v>
      </c>
      <c r="L36" s="5">
        <v>0</v>
      </c>
      <c r="M36" s="5">
        <v>0</v>
      </c>
      <c r="N36" s="5">
        <v>8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8</v>
      </c>
    </row>
    <row r="37" spans="1:20" x14ac:dyDescent="0.25">
      <c r="A37">
        <v>2024</v>
      </c>
      <c r="B37" t="s">
        <v>9</v>
      </c>
      <c r="C37">
        <v>2669</v>
      </c>
      <c r="D37">
        <v>286</v>
      </c>
      <c r="E37">
        <v>858</v>
      </c>
      <c r="F37">
        <v>1322</v>
      </c>
      <c r="G37">
        <v>131</v>
      </c>
      <c r="H37">
        <v>43</v>
      </c>
      <c r="I37">
        <v>19</v>
      </c>
      <c r="J37">
        <v>10</v>
      </c>
      <c r="K37">
        <v>0</v>
      </c>
      <c r="L37" s="5">
        <v>1</v>
      </c>
      <c r="M37" s="5">
        <v>4</v>
      </c>
      <c r="N37" s="5">
        <v>9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14</v>
      </c>
    </row>
    <row r="38" spans="1:20" x14ac:dyDescent="0.25">
      <c r="A38">
        <v>2024</v>
      </c>
      <c r="B38" t="s">
        <v>10</v>
      </c>
      <c r="C38">
        <v>6521</v>
      </c>
      <c r="D38">
        <v>609</v>
      </c>
      <c r="E38">
        <v>1737</v>
      </c>
      <c r="F38">
        <v>3467</v>
      </c>
      <c r="G38">
        <v>488</v>
      </c>
      <c r="H38">
        <v>147</v>
      </c>
      <c r="I38">
        <v>53</v>
      </c>
      <c r="J38">
        <v>20</v>
      </c>
      <c r="K38">
        <v>0</v>
      </c>
      <c r="L38" s="5">
        <v>1</v>
      </c>
      <c r="M38" s="5">
        <v>3</v>
      </c>
      <c r="N38" s="5">
        <v>22</v>
      </c>
      <c r="O38" s="5">
        <v>3</v>
      </c>
      <c r="P38" s="5">
        <v>1</v>
      </c>
      <c r="Q38" s="5">
        <v>0</v>
      </c>
      <c r="R38" s="5">
        <v>0</v>
      </c>
      <c r="S38" s="5">
        <v>0</v>
      </c>
      <c r="T38" s="5">
        <v>30</v>
      </c>
    </row>
    <row r="39" spans="1:20" x14ac:dyDescent="0.25">
      <c r="A39">
        <v>2024</v>
      </c>
      <c r="B39" t="s">
        <v>11</v>
      </c>
      <c r="C39" s="1">
        <v>18097</v>
      </c>
      <c r="D39">
        <v>1326</v>
      </c>
      <c r="E39">
        <v>3046</v>
      </c>
      <c r="F39">
        <v>10838</v>
      </c>
      <c r="G39">
        <v>1564</v>
      </c>
      <c r="H39">
        <v>491</v>
      </c>
      <c r="I39">
        <v>501</v>
      </c>
      <c r="J39">
        <v>311</v>
      </c>
      <c r="K39">
        <v>20</v>
      </c>
      <c r="L39" s="5">
        <v>9</v>
      </c>
      <c r="M39" s="5">
        <v>11</v>
      </c>
      <c r="N39" s="5">
        <v>61</v>
      </c>
      <c r="O39" s="5">
        <v>4</v>
      </c>
      <c r="P39" s="5">
        <v>2</v>
      </c>
      <c r="Q39" s="5">
        <v>2</v>
      </c>
      <c r="R39" s="5">
        <v>0</v>
      </c>
      <c r="S39" s="5">
        <v>0</v>
      </c>
      <c r="T39" s="5">
        <v>87</v>
      </c>
    </row>
    <row r="40" spans="1:20" x14ac:dyDescent="0.25">
      <c r="A40">
        <v>2024</v>
      </c>
      <c r="B40" t="s">
        <v>12</v>
      </c>
      <c r="C40" s="1">
        <v>30879</v>
      </c>
      <c r="D40">
        <v>2656</v>
      </c>
      <c r="E40">
        <v>4199</v>
      </c>
      <c r="F40">
        <v>17754</v>
      </c>
      <c r="G40">
        <v>3096</v>
      </c>
      <c r="H40">
        <v>1255</v>
      </c>
      <c r="I40">
        <v>1165</v>
      </c>
      <c r="J40">
        <v>628</v>
      </c>
      <c r="K40">
        <v>126</v>
      </c>
      <c r="L40" s="5">
        <v>17</v>
      </c>
      <c r="M40" s="5">
        <v>9</v>
      </c>
      <c r="N40" s="5">
        <v>89</v>
      </c>
      <c r="O40" s="5">
        <v>11</v>
      </c>
      <c r="P40" s="5">
        <v>4</v>
      </c>
      <c r="Q40" s="5">
        <v>3</v>
      </c>
      <c r="R40" s="5">
        <v>2</v>
      </c>
      <c r="S40" s="5">
        <v>0</v>
      </c>
      <c r="T40" s="5">
        <v>135</v>
      </c>
    </row>
    <row r="41" spans="1:20" x14ac:dyDescent="0.25">
      <c r="A41">
        <v>2024</v>
      </c>
      <c r="B41" t="s">
        <v>13</v>
      </c>
      <c r="C41" s="1">
        <v>29652</v>
      </c>
      <c r="D41">
        <v>2557</v>
      </c>
      <c r="E41">
        <v>3427</v>
      </c>
      <c r="F41">
        <v>17053</v>
      </c>
      <c r="G41">
        <v>3449</v>
      </c>
      <c r="H41">
        <v>1034</v>
      </c>
      <c r="I41">
        <v>1567</v>
      </c>
      <c r="J41">
        <v>432</v>
      </c>
      <c r="K41">
        <v>134</v>
      </c>
      <c r="L41" s="5">
        <v>20</v>
      </c>
      <c r="M41" s="5">
        <v>17</v>
      </c>
      <c r="N41" s="5">
        <v>120</v>
      </c>
      <c r="O41" s="5">
        <v>9</v>
      </c>
      <c r="P41" s="5">
        <v>6</v>
      </c>
      <c r="Q41" s="5">
        <v>1</v>
      </c>
      <c r="R41" s="5">
        <v>0</v>
      </c>
      <c r="S41" s="5">
        <v>0</v>
      </c>
      <c r="T41" s="5">
        <v>173</v>
      </c>
    </row>
    <row r="42" spans="1:20" x14ac:dyDescent="0.25">
      <c r="A42">
        <v>2024</v>
      </c>
      <c r="B42" t="s">
        <v>14</v>
      </c>
      <c r="C42" s="1">
        <v>9745</v>
      </c>
      <c r="D42">
        <v>873</v>
      </c>
      <c r="E42">
        <v>1162</v>
      </c>
      <c r="F42">
        <v>5661</v>
      </c>
      <c r="G42">
        <v>1069</v>
      </c>
      <c r="H42">
        <v>316</v>
      </c>
      <c r="I42">
        <v>530</v>
      </c>
      <c r="J42">
        <v>87</v>
      </c>
      <c r="K42">
        <v>47</v>
      </c>
      <c r="L42" s="5">
        <v>9</v>
      </c>
      <c r="M42" s="5">
        <v>7</v>
      </c>
      <c r="N42" s="5">
        <v>57</v>
      </c>
      <c r="O42" s="5">
        <v>8</v>
      </c>
      <c r="P42" s="5">
        <v>3</v>
      </c>
      <c r="Q42" s="5">
        <v>2</v>
      </c>
      <c r="R42" s="5">
        <v>1</v>
      </c>
      <c r="S42" s="5">
        <v>0</v>
      </c>
      <c r="T42" s="5">
        <v>87</v>
      </c>
    </row>
    <row r="43" spans="1:20" x14ac:dyDescent="0.25">
      <c r="A43">
        <v>2025</v>
      </c>
      <c r="B43" t="s">
        <v>1</v>
      </c>
      <c r="C43">
        <v>1161</v>
      </c>
      <c r="D43">
        <v>184</v>
      </c>
      <c r="E43">
        <v>192</v>
      </c>
      <c r="F43">
        <f>SUM(213,185,236)</f>
        <v>634</v>
      </c>
      <c r="G43">
        <v>66</v>
      </c>
      <c r="H43">
        <v>31</v>
      </c>
      <c r="I43">
        <v>42</v>
      </c>
      <c r="J43">
        <v>6</v>
      </c>
      <c r="K43">
        <v>6</v>
      </c>
      <c r="L43" s="5">
        <v>0</v>
      </c>
      <c r="M43" s="5">
        <v>1</v>
      </c>
      <c r="N43" s="5">
        <v>8</v>
      </c>
      <c r="O43" s="5">
        <v>0</v>
      </c>
      <c r="P43" s="5">
        <v>1</v>
      </c>
      <c r="Q43" s="5">
        <v>0</v>
      </c>
      <c r="R43" s="5">
        <v>0</v>
      </c>
      <c r="S43" s="5">
        <v>0</v>
      </c>
      <c r="T43" s="5">
        <v>10</v>
      </c>
    </row>
    <row r="44" spans="1:20" x14ac:dyDescent="0.25">
      <c r="A44">
        <v>2025</v>
      </c>
      <c r="B44" t="s">
        <v>2</v>
      </c>
      <c r="C44">
        <v>374</v>
      </c>
      <c r="D44">
        <f>279-184</f>
        <v>95</v>
      </c>
      <c r="E44">
        <f>280-192</f>
        <v>88</v>
      </c>
      <c r="F44">
        <f>(276+214+290)-634</f>
        <v>146</v>
      </c>
      <c r="G44">
        <f>88-66</f>
        <v>22</v>
      </c>
      <c r="H44">
        <f>39-31</f>
        <v>8</v>
      </c>
      <c r="I44">
        <f>57-42</f>
        <v>15</v>
      </c>
      <c r="J44">
        <v>0</v>
      </c>
      <c r="K44">
        <v>0</v>
      </c>
      <c r="L44" s="5">
        <v>0</v>
      </c>
      <c r="M44" s="5">
        <v>0</v>
      </c>
      <c r="N44" s="5">
        <v>1</v>
      </c>
      <c r="O44" s="5">
        <v>2</v>
      </c>
      <c r="P44" s="5">
        <v>0</v>
      </c>
      <c r="Q44" s="5">
        <v>0</v>
      </c>
      <c r="R44" s="5">
        <v>0</v>
      </c>
      <c r="S44" s="5">
        <v>0</v>
      </c>
      <c r="T44" s="5">
        <v>3</v>
      </c>
    </row>
    <row r="45" spans="1:20" x14ac:dyDescent="0.25">
      <c r="A45">
        <v>2025</v>
      </c>
      <c r="B45" t="s">
        <v>3</v>
      </c>
      <c r="C45">
        <v>336</v>
      </c>
      <c r="D45">
        <f>(364-184-95)</f>
        <v>85</v>
      </c>
      <c r="E45">
        <v>80</v>
      </c>
      <c r="F45">
        <f>(327+242+346)-634-146</f>
        <v>135</v>
      </c>
      <c r="G45">
        <f>111-66-22</f>
        <v>23</v>
      </c>
      <c r="H45">
        <f>47-31-8</f>
        <v>8</v>
      </c>
      <c r="I45">
        <f>62-42-15</f>
        <v>5</v>
      </c>
      <c r="J45">
        <v>0</v>
      </c>
      <c r="K45">
        <v>0</v>
      </c>
      <c r="L45" s="5">
        <v>0</v>
      </c>
      <c r="M45" s="5">
        <v>0</v>
      </c>
      <c r="N45" s="5">
        <v>1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</row>
    <row r="46" spans="1:20" x14ac:dyDescent="0.25">
      <c r="A46">
        <v>2025</v>
      </c>
      <c r="B46" t="s">
        <v>6</v>
      </c>
      <c r="C46">
        <v>701</v>
      </c>
      <c r="D46">
        <f>(707-184-95-85)</f>
        <v>343</v>
      </c>
      <c r="E46">
        <v>129</v>
      </c>
      <c r="F46">
        <f>(384+289+436)-634-146-135</f>
        <v>194</v>
      </c>
      <c r="G46">
        <f>127-66-22-23</f>
        <v>16</v>
      </c>
      <c r="H46">
        <f>63-31-8-8</f>
        <v>16</v>
      </c>
      <c r="I46">
        <f>64-42-15-5</f>
        <v>2</v>
      </c>
      <c r="J46">
        <v>1</v>
      </c>
      <c r="K46">
        <v>0</v>
      </c>
      <c r="L46" s="5">
        <v>3</v>
      </c>
      <c r="M46" s="5">
        <v>1</v>
      </c>
      <c r="N46" s="5">
        <v>2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7</v>
      </c>
    </row>
    <row r="47" spans="1:20" x14ac:dyDescent="0.25">
      <c r="A47">
        <v>2025</v>
      </c>
      <c r="B47" t="s">
        <v>7</v>
      </c>
      <c r="C47">
        <v>1773</v>
      </c>
      <c r="D47">
        <f>(1627-184-95-85-343)</f>
        <v>920</v>
      </c>
      <c r="E47">
        <f>749-192-88-47-162</f>
        <v>260</v>
      </c>
      <c r="F47">
        <f>488+441+685-634-146-135-194</f>
        <v>505</v>
      </c>
      <c r="G47">
        <f>161-66-22-23-16</f>
        <v>34</v>
      </c>
      <c r="H47">
        <f>88-31-8-8-16</f>
        <v>25</v>
      </c>
      <c r="I47">
        <f>72-42-15-5-2</f>
        <v>8</v>
      </c>
      <c r="J47">
        <f>17-6-1</f>
        <v>10</v>
      </c>
      <c r="K47">
        <f>17-6</f>
        <v>11</v>
      </c>
      <c r="L47" s="5">
        <v>0</v>
      </c>
      <c r="M47" s="5">
        <v>0</v>
      </c>
      <c r="N47" s="5">
        <v>3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3</v>
      </c>
    </row>
    <row r="48" spans="1:20" x14ac:dyDescent="0.25">
      <c r="A48">
        <v>2025</v>
      </c>
      <c r="B48" t="s">
        <v>8</v>
      </c>
      <c r="C48">
        <v>5951</v>
      </c>
      <c r="D48">
        <v>2964</v>
      </c>
      <c r="E48">
        <v>777</v>
      </c>
      <c r="F48">
        <v>1629</v>
      </c>
      <c r="G48">
        <v>182</v>
      </c>
      <c r="H48">
        <v>48</v>
      </c>
      <c r="I48">
        <v>329</v>
      </c>
      <c r="J48">
        <v>9</v>
      </c>
      <c r="K48">
        <v>13</v>
      </c>
      <c r="L48" s="5">
        <v>8</v>
      </c>
      <c r="M48" s="5">
        <v>2</v>
      </c>
      <c r="N48" s="5">
        <v>7</v>
      </c>
      <c r="O48" s="5">
        <v>0</v>
      </c>
      <c r="P48" s="5">
        <v>0</v>
      </c>
      <c r="Q48" s="5">
        <v>2</v>
      </c>
      <c r="R48" s="5">
        <v>0</v>
      </c>
      <c r="S48" s="5">
        <v>0</v>
      </c>
      <c r="T48" s="5">
        <v>19</v>
      </c>
    </row>
    <row r="49" spans="1:20" x14ac:dyDescent="0.25">
      <c r="A49">
        <v>2025</v>
      </c>
      <c r="B49" t="s">
        <v>9</v>
      </c>
      <c r="C49" s="1">
        <v>10684</v>
      </c>
      <c r="D49">
        <v>3351</v>
      </c>
      <c r="E49">
        <v>1487</v>
      </c>
      <c r="F49">
        <v>3801</v>
      </c>
      <c r="G49">
        <v>665</v>
      </c>
      <c r="H49">
        <v>174</v>
      </c>
      <c r="I49">
        <v>1109</v>
      </c>
      <c r="J49">
        <v>82</v>
      </c>
      <c r="K49">
        <v>15</v>
      </c>
      <c r="L49" s="5">
        <v>5</v>
      </c>
      <c r="M49" s="5">
        <v>8</v>
      </c>
      <c r="N49" s="5">
        <v>5</v>
      </c>
      <c r="O49" s="5">
        <v>2</v>
      </c>
      <c r="P49" s="5">
        <v>0</v>
      </c>
      <c r="Q49" s="5">
        <v>1</v>
      </c>
      <c r="R49" s="5">
        <v>0</v>
      </c>
      <c r="S49" s="5">
        <v>0</v>
      </c>
      <c r="T49" s="5">
        <v>41</v>
      </c>
    </row>
    <row r="50" spans="1:20" x14ac:dyDescent="0.25">
      <c r="A50">
        <v>2025</v>
      </c>
      <c r="B50" t="s">
        <v>10</v>
      </c>
      <c r="C50" s="1">
        <v>10496</v>
      </c>
      <c r="D50">
        <v>2190</v>
      </c>
      <c r="E50">
        <v>1707</v>
      </c>
      <c r="F50">
        <v>4741</v>
      </c>
      <c r="G50">
        <v>683</v>
      </c>
      <c r="H50">
        <v>252</v>
      </c>
      <c r="I50">
        <v>789</v>
      </c>
      <c r="J50">
        <v>95</v>
      </c>
      <c r="K50">
        <v>42</v>
      </c>
      <c r="L50" s="5">
        <v>2</v>
      </c>
      <c r="M50" s="5">
        <v>6</v>
      </c>
      <c r="N50" s="5">
        <v>47</v>
      </c>
      <c r="O50" s="5">
        <v>1</v>
      </c>
      <c r="P50" s="5">
        <v>0</v>
      </c>
      <c r="Q50" s="5">
        <v>3</v>
      </c>
      <c r="R50" s="5">
        <v>0</v>
      </c>
      <c r="S50" s="5">
        <v>0</v>
      </c>
      <c r="T50" s="5">
        <v>39</v>
      </c>
    </row>
    <row r="51" spans="1:20" x14ac:dyDescent="0.25">
      <c r="A51">
        <v>2025</v>
      </c>
      <c r="B51" t="s">
        <v>11</v>
      </c>
      <c r="C51" s="1">
        <v>15866</v>
      </c>
      <c r="D51">
        <v>3215</v>
      </c>
      <c r="E51">
        <v>2465</v>
      </c>
      <c r="F51">
        <v>7890</v>
      </c>
      <c r="G51">
        <v>679</v>
      </c>
      <c r="H51">
        <v>521</v>
      </c>
      <c r="I51">
        <v>864</v>
      </c>
      <c r="J51">
        <v>171</v>
      </c>
      <c r="K51">
        <v>58</v>
      </c>
      <c r="L51" s="5">
        <v>14</v>
      </c>
      <c r="M51" s="5">
        <v>5</v>
      </c>
      <c r="N51" s="5">
        <v>48</v>
      </c>
      <c r="O51" s="5">
        <v>0</v>
      </c>
      <c r="P51" s="5">
        <v>5</v>
      </c>
      <c r="Q51" s="5">
        <v>4</v>
      </c>
      <c r="R51" s="5">
        <v>0</v>
      </c>
      <c r="S51" s="5">
        <v>0</v>
      </c>
      <c r="T51" s="5">
        <v>76</v>
      </c>
    </row>
    <row r="52" spans="1:20" x14ac:dyDescent="0.25">
      <c r="A52">
        <v>2025</v>
      </c>
      <c r="B52" t="s">
        <v>12</v>
      </c>
      <c r="C52" s="1">
        <v>22014</v>
      </c>
      <c r="D52">
        <v>3894</v>
      </c>
      <c r="E52">
        <v>2907</v>
      </c>
      <c r="F52">
        <v>11777</v>
      </c>
      <c r="G52">
        <v>1173</v>
      </c>
      <c r="H52">
        <v>1120</v>
      </c>
      <c r="I52">
        <v>1135</v>
      </c>
      <c r="J52">
        <v>420</v>
      </c>
      <c r="K52">
        <v>94</v>
      </c>
      <c r="L52" s="5">
        <v>8</v>
      </c>
      <c r="M52" s="5">
        <v>2</v>
      </c>
      <c r="N52" s="5">
        <v>56</v>
      </c>
      <c r="O52" s="5">
        <v>3</v>
      </c>
      <c r="P52" s="5">
        <v>6</v>
      </c>
      <c r="Q52" s="5">
        <v>4</v>
      </c>
      <c r="R52" s="5">
        <v>0</v>
      </c>
      <c r="S52" s="5">
        <v>1</v>
      </c>
      <c r="T52" s="5">
        <v>80</v>
      </c>
    </row>
    <row r="54" spans="1:20" x14ac:dyDescent="0.25">
      <c r="C54" s="1"/>
    </row>
    <row r="55" spans="1:20" x14ac:dyDescent="0.25">
      <c r="C55" s="1"/>
    </row>
    <row r="56" spans="1:20" x14ac:dyDescent="0.25">
      <c r="C56" s="1"/>
    </row>
    <row r="57" spans="1:20" x14ac:dyDescent="0.25">
      <c r="C57" s="1"/>
    </row>
    <row r="63" spans="1:20" x14ac:dyDescent="0.25">
      <c r="C63" s="1"/>
    </row>
    <row r="64" spans="1:20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RISUL ISLAM RIFAT</cp:lastModifiedBy>
  <dcterms:created xsi:type="dcterms:W3CDTF">2025-10-31T09:15:00Z</dcterms:created>
  <dcterms:modified xsi:type="dcterms:W3CDTF">2026-01-05T16:23:47Z</dcterms:modified>
</cp:coreProperties>
</file>